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 IS" sheetId="1" r:id="rId1"/>
    <sheet name="Annual Summary" sheetId="2" r:id="rId2"/>
    <sheet name="Assumptions" sheetId="3" r:id="rId3"/>
  </sheets>
  <calcPr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"/>
    <numFmt numFmtId="166" formatCode="[$-409]$0.00"/>
  </numFmts>
  <fonts count="6">
    <font>
      <sz val="11"/>
      <name val="Calibri"/>
    </font>
    <font>
      <b/>
      <sz val="14"/>
      <name val="Calibri"/>
    </font>
    <font>
      <i/>
      <color rgb="FF5F6A7B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i/>
      <sz val="11"/>
      <color rgb="FF5F6A7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2E4C"/>
        <bgColor indexed="64"/>
      </patternFill>
    </fill>
    <fill>
      <patternFill patternType="solid">
        <fgColor rgb="FFE2ECF9"/>
        <bgColor indexed="64"/>
      </patternFill>
    </fill>
  </fills>
  <borders count="1">
    <border/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/>
    </xf>
    <xf numFmtId="165" fontId="0" fillId="0" borderId="0" xfId="0" applyNumberFormat="1" applyAlignment="1">
      <alignment vertical="top"/>
    </xf>
    <xf numFmtId="165" fontId="4" fillId="3" borderId="0" xfId="0" applyNumberFormat="1" applyFont="1" applyFill="1" applyAlignment="1">
      <alignment vertical="top"/>
    </xf>
    <xf numFmtId="166" fontId="4" fillId="3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165" fontId="2" fillId="0" borderId="0" xfId="0" applyNumberFormat="1" applyFont="1"/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4" fontId="4" fillId="3" borderId="0" xfId="0" applyNumberFormat="1" applyFont="1" applyFill="1" applyAlignment="1">
      <alignment horizontal="right" vertical="top"/>
    </xf>
    <xf numFmtId="165" fontId="4" fillId="3" borderId="0" xfId="0" applyNumberFormat="1" applyFont="1" applyFill="1" applyAlignment="1">
      <alignment horizontal="right" vertical="top"/>
    </xf>
    <xf numFmtId="166" fontId="4" fillId="3" borderId="0" xfId="0" applyNumberFormat="1" applyFont="1" applyFill="1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vertical="top"/>
    </xf>
    <xf numFmtId="0" fontId="5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Annual net income and margin — synthetic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income</c:v>
          </c:tx>
          <c:spPr>
            <a:solidFill>
              <a:srgbClr val="4472C4"/>
            </a:solidFill>
          </c:spPr>
          <c:cat>
            <c:strRef>
              <c:f>'Annual Summary'!$B$4:$F$4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'Annual Summary'!$B$22:$F$22</c:f>
              <c:numCache>
                <c:formatCode>General</c:formatCode>
                <c:ptCount val="5"/>
                <c:pt idx="0">
                  <c:v>6100</c:v>
                </c:pt>
                <c:pt idx="1">
                  <c:v>12412</c:v>
                </c:pt>
                <c:pt idx="2">
                  <c:v>18232</c:v>
                </c:pt>
                <c:pt idx="3">
                  <c:v>20067</c:v>
                </c:pt>
                <c:pt idx="4">
                  <c:v>26810</c:v>
                </c:pt>
              </c:numCache>
            </c:numRef>
          </c:val>
        </c:ser>
        <c:axId val="100000001"/>
        <c:axId val="100000002"/>
      </c:barChart>
      <c:lineChart>
        <c:grouping val="standard"/>
        <c:varyColors val="0"/>
        <c:ser>
          <c:idx val="1"/>
          <c:order val="1"/>
          <c:tx>
            <c:v>Net margin (%)</c:v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'Annual Summary'!$B$4:$F$4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'Annual Summary'!$B$23:$F$23</c:f>
              <c:numCache>
                <c:formatCode>General</c:formatCode>
                <c:ptCount val="5"/>
                <c:pt idx="0">
                  <c:v>0.12348178137651822</c:v>
                </c:pt>
                <c:pt idx="1">
                  <c:v>0.1646153846153846</c:v>
                </c:pt>
                <c:pt idx="2">
                  <c:v>0.17683802133850632</c:v>
                </c:pt>
                <c:pt idx="3">
                  <c:v>0.17095757369228148</c:v>
                </c:pt>
                <c:pt idx="4">
                  <c:v>0.18637469586374697</c:v>
                </c:pt>
              </c:numCache>
            </c:numRef>
          </c:val>
        </c:ser>
        <c:marker val="1"/>
        <c:axId val="100000003"/>
        <c:axId val="100000004"/>
      </c:lineChart>
      <c:catAx>
        <c:axId val="100000001"/>
        <c:scaling>
          <c:orientation val="minMax"/>
        </c:scaling>
        <c:delete val="0"/>
        <c:axPos val="b"/>
        <c:crossAx val="100000002"/>
      </c:catAx>
      <c:valAx>
        <c:axId val="100000002"/>
        <c:scaling>
          <c:orientation val="minMax"/>
        </c:scaling>
        <c:delete val="0"/>
        <c:axPos val="l"/>
        <c:numFmt formatCode="#,##0" sourceLinked="0"/>
        <c:crossAx val="100000001"/>
      </c:valAx>
      <c:valAx>
        <c:axId val="100000004"/>
        <c:scaling>
          <c:orientation val="minMax"/>
        </c:scaling>
        <c:delete val="0"/>
        <c:axPos val="r"/>
        <c:numFmt formatCode="0.0%" sourceLinked="0"/>
        <c:crossAx val="100000003"/>
        <c:crosses val="max"/>
      </c:valAx>
      <c:catAx>
        <c:axId val="100000003"/>
        <c:scaling>
          <c:orientation val="minMax"/>
        </c:scaling>
        <c:delete val="1"/>
        <c:axPos val="b"/>
        <c:crossAx val="100000004"/>
      </c:catAx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revenue by segment (USD millions, synthetic)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Automotive revenues</c:v>
          </c:tx>
          <c:spPr>
            <a:ln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'Quarterly IS'!$B$4:$U$4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'Quarterly IS'!$B$5:$U$5</c:f>
              <c:numCache>
                <c:formatCode>General</c:formatCode>
                <c:ptCount val="20"/>
                <c:pt idx="0">
                  <c:v>7500</c:v>
                </c:pt>
                <c:pt idx="1">
                  <c:v>8600</c:v>
                </c:pt>
                <c:pt idx="2">
                  <c:v>9800</c:v>
                </c:pt>
                <c:pt idx="3">
                  <c:v>11200</c:v>
                </c:pt>
                <c:pt idx="4">
                  <c:v>12300</c:v>
                </c:pt>
                <c:pt idx="5">
                  <c:v>13800</c:v>
                </c:pt>
                <c:pt idx="6">
                  <c:v>15200</c:v>
                </c:pt>
                <c:pt idx="7">
                  <c:v>16800</c:v>
                </c:pt>
                <c:pt idx="8">
                  <c:v>18500</c:v>
                </c:pt>
                <c:pt idx="9">
                  <c:v>19500</c:v>
                </c:pt>
                <c:pt idx="10">
                  <c:v>20400</c:v>
                </c:pt>
                <c:pt idx="11">
                  <c:v>21000</c:v>
                </c:pt>
                <c:pt idx="12">
                  <c:v>20000</c:v>
                </c:pt>
                <c:pt idx="13">
                  <c:v>21500</c:v>
                </c:pt>
                <c:pt idx="14">
                  <c:v>22500</c:v>
                </c:pt>
                <c:pt idx="15">
                  <c:v>23500</c:v>
                </c:pt>
                <c:pt idx="16">
                  <c:v>24500</c:v>
                </c:pt>
                <c:pt idx="17">
                  <c:v>26000</c:v>
                </c:pt>
                <c:pt idx="18">
                  <c:v>27500</c:v>
                </c:pt>
                <c:pt idx="19">
                  <c:v>28500</c:v>
                </c:pt>
              </c:numCache>
            </c:numRef>
          </c:val>
        </c:ser>
        <c:ser>
          <c:idx val="1"/>
          <c:order val="1"/>
          <c:tx>
            <c:v>Energy generation &amp; storage revenues</c:v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'Quarterly IS'!$B$4:$U$4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'Quarterly IS'!$B$6:$U$6</c:f>
              <c:numCache>
                <c:formatCode>General</c:formatCode>
                <c:ptCount val="20"/>
                <c:pt idx="0">
                  <c:v>1500</c:v>
                </c:pt>
                <c:pt idx="1">
                  <c:v>1600</c:v>
                </c:pt>
                <c:pt idx="2">
                  <c:v>1750</c:v>
                </c:pt>
                <c:pt idx="3">
                  <c:v>1900</c:v>
                </c:pt>
                <c:pt idx="4">
                  <c:v>2100</c:v>
                </c:pt>
                <c:pt idx="5">
                  <c:v>2250</c:v>
                </c:pt>
                <c:pt idx="6">
                  <c:v>2400</c:v>
                </c:pt>
                <c:pt idx="7">
                  <c:v>2600</c:v>
                </c:pt>
                <c:pt idx="8">
                  <c:v>2900</c:v>
                </c:pt>
                <c:pt idx="9">
                  <c:v>3100</c:v>
                </c:pt>
                <c:pt idx="10">
                  <c:v>3350</c:v>
                </c:pt>
                <c:pt idx="11">
                  <c:v>3600</c:v>
                </c:pt>
                <c:pt idx="12">
                  <c:v>3900</c:v>
                </c:pt>
                <c:pt idx="13">
                  <c:v>4100</c:v>
                </c:pt>
                <c:pt idx="14">
                  <c:v>4300</c:v>
                </c:pt>
                <c:pt idx="15">
                  <c:v>4600</c:v>
                </c:pt>
                <c:pt idx="16">
                  <c:v>4900</c:v>
                </c:pt>
                <c:pt idx="17">
                  <c:v>5300</c:v>
                </c:pt>
                <c:pt idx="18">
                  <c:v>5700</c:v>
                </c:pt>
                <c:pt idx="19">
                  <c:v>6100</c:v>
                </c:pt>
              </c:numCache>
            </c:numRef>
          </c:val>
        </c:ser>
        <c:ser>
          <c:idx val="2"/>
          <c:order val="2"/>
          <c:tx>
            <c:v>Services and other revenues</c:v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'Quarterly IS'!$B$4:$U$4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'Quarterly IS'!$B$7:$U$7</c:f>
              <c:numCache>
                <c:formatCode>General</c:formatCode>
                <c:ptCount val="20"/>
                <c:pt idx="0">
                  <c:v>1200</c:v>
                </c:pt>
                <c:pt idx="1">
                  <c:v>1300</c:v>
                </c:pt>
                <c:pt idx="2">
                  <c:v>1450</c:v>
                </c:pt>
                <c:pt idx="3">
                  <c:v>1600</c:v>
                </c:pt>
                <c:pt idx="4">
                  <c:v>1750</c:v>
                </c:pt>
                <c:pt idx="5">
                  <c:v>1900</c:v>
                </c:pt>
                <c:pt idx="6">
                  <c:v>2050</c:v>
                </c:pt>
                <c:pt idx="7">
                  <c:v>2250</c:v>
                </c:pt>
                <c:pt idx="8">
                  <c:v>2450</c:v>
                </c:pt>
                <c:pt idx="9">
                  <c:v>2600</c:v>
                </c:pt>
                <c:pt idx="10">
                  <c:v>2750</c:v>
                </c:pt>
                <c:pt idx="11">
                  <c:v>2950</c:v>
                </c:pt>
                <c:pt idx="12">
                  <c:v>3050</c:v>
                </c:pt>
                <c:pt idx="13">
                  <c:v>3180</c:v>
                </c:pt>
                <c:pt idx="14">
                  <c:v>3300</c:v>
                </c:pt>
                <c:pt idx="15">
                  <c:v>3450</c:v>
                </c:pt>
                <c:pt idx="16">
                  <c:v>3600</c:v>
                </c:pt>
                <c:pt idx="17">
                  <c:v>3750</c:v>
                </c:pt>
                <c:pt idx="18">
                  <c:v>3900</c:v>
                </c:pt>
                <c:pt idx="19">
                  <c:v>4100</c:v>
                </c:pt>
              </c:numCache>
            </c:numRef>
          </c:val>
        </c:ser>
        <c:ser>
          <c:idx val="3"/>
          <c:order val="3"/>
          <c:tx>
            <c:v>Total revenues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'Quarterly IS'!$B$4:$U$4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'Quarterly IS'!$B$8:$U$8</c:f>
              <c:numCache>
                <c:formatCode>General</c:formatCode>
                <c:ptCount val="20"/>
                <c:pt idx="0">
                  <c:v>10200</c:v>
                </c:pt>
                <c:pt idx="1">
                  <c:v>11500</c:v>
                </c:pt>
                <c:pt idx="2">
                  <c:v>13000</c:v>
                </c:pt>
                <c:pt idx="3">
                  <c:v>14700</c:v>
                </c:pt>
                <c:pt idx="4">
                  <c:v>16150</c:v>
                </c:pt>
                <c:pt idx="5">
                  <c:v>17950</c:v>
                </c:pt>
                <c:pt idx="6">
                  <c:v>19650</c:v>
                </c:pt>
                <c:pt idx="7">
                  <c:v>21650</c:v>
                </c:pt>
                <c:pt idx="8">
                  <c:v>23850</c:v>
                </c:pt>
                <c:pt idx="9">
                  <c:v>25200</c:v>
                </c:pt>
                <c:pt idx="10">
                  <c:v>26500</c:v>
                </c:pt>
                <c:pt idx="11">
                  <c:v>27550</c:v>
                </c:pt>
                <c:pt idx="12">
                  <c:v>26950</c:v>
                </c:pt>
                <c:pt idx="13">
                  <c:v>28780</c:v>
                </c:pt>
                <c:pt idx="14">
                  <c:v>30100</c:v>
                </c:pt>
                <c:pt idx="15">
                  <c:v>31550</c:v>
                </c:pt>
                <c:pt idx="16">
                  <c:v>33000</c:v>
                </c:pt>
                <c:pt idx="17">
                  <c:v>35050</c:v>
                </c:pt>
                <c:pt idx="18">
                  <c:v>37100</c:v>
                </c:pt>
                <c:pt idx="19">
                  <c:v>38700</c:v>
                </c:pt>
              </c:numCache>
            </c:numRef>
          </c:val>
        </c:ser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crossAx val="100000002"/>
      </c:catAx>
      <c:valAx>
        <c:axId val="100000002"/>
        <c:scaling>
          <c:orientation val="minMax"/>
        </c:scaling>
        <c:delete val="0"/>
        <c:axPos val="l"/>
        <c:crossAx val="100000001"/>
      </c:valAx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Annual revenue by segment (USD millions, synthetic)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Automotive revenues</c:v>
          </c:tx>
          <c:spPr>
            <a:solidFill>
              <a:srgbClr val="1D6294"/>
            </a:solidFill>
          </c:spPr>
          <c:cat>
            <c:strRef>
              <c:f>'Annual Summary'!$B$4:$F$4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'Annual Summary'!$B$5:$F$5</c:f>
              <c:numCache>
                <c:formatCode>General</c:formatCode>
                <c:ptCount val="5"/>
                <c:pt idx="0">
                  <c:v>37100</c:v>
                </c:pt>
                <c:pt idx="1">
                  <c:v>58100</c:v>
                </c:pt>
                <c:pt idx="2">
                  <c:v>79400</c:v>
                </c:pt>
                <c:pt idx="3">
                  <c:v>87500</c:v>
                </c:pt>
                <c:pt idx="4">
                  <c:v>106500</c:v>
                </c:pt>
              </c:numCache>
            </c:numRef>
          </c:val>
        </c:ser>
        <c:ser>
          <c:idx val="1"/>
          <c:order val="1"/>
          <c:tx>
            <c:v>Energy generation &amp; storage revenues</c:v>
          </c:tx>
          <c:spPr>
            <a:solidFill>
              <a:srgbClr val="A77D4B"/>
            </a:solidFill>
          </c:spPr>
          <c:cat>
            <c:strRef>
              <c:f>'Annual Summary'!$B$4:$F$4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'Annual Summary'!$B$6:$F$6</c:f>
              <c:numCache>
                <c:formatCode>General</c:formatCode>
                <c:ptCount val="5"/>
                <c:pt idx="0">
                  <c:v>6750</c:v>
                </c:pt>
                <c:pt idx="1">
                  <c:v>9350</c:v>
                </c:pt>
                <c:pt idx="2">
                  <c:v>12950</c:v>
                </c:pt>
                <c:pt idx="3">
                  <c:v>16900</c:v>
                </c:pt>
                <c:pt idx="4">
                  <c:v>22000</c:v>
                </c:pt>
              </c:numCache>
            </c:numRef>
          </c:val>
        </c:ser>
        <c:ser>
          <c:idx val="2"/>
          <c:order val="2"/>
          <c:tx>
            <c:v>Services and other revenues</c:v>
          </c:tx>
          <c:spPr>
            <a:solidFill>
              <a:srgbClr val="5F6A7B"/>
            </a:solidFill>
          </c:spPr>
          <c:cat>
            <c:strRef>
              <c:f>'Annual Summary'!$B$4:$F$4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'Annual Summary'!$B$7:$F$7</c:f>
              <c:numCache>
                <c:formatCode>General</c:formatCode>
                <c:ptCount val="5"/>
                <c:pt idx="0">
                  <c:v>5550</c:v>
                </c:pt>
                <c:pt idx="1">
                  <c:v>7950</c:v>
                </c:pt>
                <c:pt idx="2">
                  <c:v>10750</c:v>
                </c:pt>
                <c:pt idx="3">
                  <c:v>12980</c:v>
                </c:pt>
                <c:pt idx="4">
                  <c:v>15350</c:v>
                </c:pt>
              </c:numCache>
            </c:numRef>
          </c:val>
        </c:ser>
        <c:axId val="100000001"/>
        <c:axId val="100000002"/>
      </c:barChart>
      <c:catAx>
        <c:axId val="100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Year</a:t>
                </a:r>
              </a:p>
            </c:rich>
          </c:tx>
          <c:overlay val="0"/>
        </c:title>
        <c:crossAx val="100000002"/>
      </c:catAx>
      <c:valAx>
        <c:axId val="10000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USD millions</a:t>
                </a:r>
              </a:p>
            </c:rich>
          </c:tx>
          <c:overlay val="0"/>
        </c:title>
        <c:crossAx val="10000000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chart" Target="../charts/chart2.xml"/><Relationship Id="rId3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7</xdr:col>
      <xdr:colOff>0</xdr:colOff>
      <xdr:row>61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4"/>
  <sheetViews>
    <sheetView zoomScaleNormal="58" zoomScale="58" workbookViewId="0">
      <pane xSplit="1" ySplit="4" topLeftCell="B5" activePane="bottomRight" state="frozen"/>
    </sheetView>
  </sheetViews>
  <cols>
    <col min="1" max="1" width="32.875" customWidth="1"/>
    <col min="2" max="2" width="7.5" customWidth="1"/>
    <col min="3" max="3" width="7.5" customWidth="1"/>
    <col min="4" max="4" width="7.5" customWidth="1"/>
    <col min="5" max="5" width="7.5" customWidth="1"/>
    <col min="6" max="6" width="7.5" customWidth="1"/>
    <col min="7" max="7" width="8.125" customWidth="1"/>
    <col min="8" max="8" width="7.5" customWidth="1"/>
    <col min="9" max="9" width="8.125" customWidth="1"/>
    <col min="10" max="10" width="7.5" customWidth="1"/>
    <col min="11" max="11" width="7.5" customWidth="1"/>
    <col min="12" max="12" width="8.125" customWidth="1"/>
    <col min="13" max="13" width="7.5" customWidth="1"/>
    <col min="14" max="14" width="7.5" customWidth="1"/>
    <col min="15" max="15" width="8.125" customWidth="1"/>
    <col min="16" max="16" width="7.5" customWidth="1"/>
    <col min="17" max="17" width="7.5" customWidth="1"/>
    <col min="18" max="18" width="7.5" customWidth="1"/>
    <col min="19" max="19" width="7.5" customWidth="1"/>
    <col min="20" max="20" width="8.125" customWidth="1"/>
    <col min="21" max="21" width="7.5" customWidth="1"/>
  </cols>
  <sheetData>
    <row r="1">
      <c r="A1" s="1" t="inlineStr">
        <is>
          <t xml:space="preserve">Tesla, Inc. — Quarterly Income Statement (Synthetic)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inlineStr">
        <is>
          <t xml:space="preserve">Synthetic example — NOT actual Tesla results. USD millions unless noted.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6.25" customHeight="1">
      <c r="A4" s="3" t="inlineStr">
        <is>
          <t xml:space="preserve">Line item (USD millions)</t>
        </is>
      </c>
      <c r="B4" s="3" t="inlineStr">
        <is>
          <t xml:space="preserve">Q1 2021</t>
        </is>
      </c>
      <c r="C4" s="3" t="inlineStr">
        <is>
          <t xml:space="preserve">Q2 2021</t>
        </is>
      </c>
      <c r="D4" s="3" t="inlineStr">
        <is>
          <t xml:space="preserve">Q3 2021</t>
        </is>
      </c>
      <c r="E4" s="3" t="inlineStr">
        <is>
          <t xml:space="preserve">Q4 2021</t>
        </is>
      </c>
      <c r="F4" s="3" t="inlineStr">
        <is>
          <t xml:space="preserve">Q1 2022</t>
        </is>
      </c>
      <c r="G4" s="3" t="inlineStr">
        <is>
          <t xml:space="preserve">Q2 2022</t>
        </is>
      </c>
      <c r="H4" s="3" t="inlineStr">
        <is>
          <t xml:space="preserve">Q3 2022</t>
        </is>
      </c>
      <c r="I4" s="3" t="inlineStr">
        <is>
          <t xml:space="preserve">Q4 2022</t>
        </is>
      </c>
      <c r="J4" s="3" t="inlineStr">
        <is>
          <t xml:space="preserve">Q1 2023</t>
        </is>
      </c>
      <c r="K4" s="3" t="inlineStr">
        <is>
          <t xml:space="preserve">Q2 2023</t>
        </is>
      </c>
      <c r="L4" s="3" t="inlineStr">
        <is>
          <t xml:space="preserve">Q3 2023</t>
        </is>
      </c>
      <c r="M4" s="3" t="inlineStr">
        <is>
          <t xml:space="preserve">Q4 2023</t>
        </is>
      </c>
      <c r="N4" s="3" t="inlineStr">
        <is>
          <t xml:space="preserve">Q1 2024</t>
        </is>
      </c>
      <c r="O4" s="3" t="inlineStr">
        <is>
          <t xml:space="preserve">Q2 2024</t>
        </is>
      </c>
      <c r="P4" s="3" t="inlineStr">
        <is>
          <t xml:space="preserve">Q3 2024</t>
        </is>
      </c>
      <c r="Q4" s="3" t="inlineStr">
        <is>
          <t xml:space="preserve">Q4 2024</t>
        </is>
      </c>
      <c r="R4" s="3" t="inlineStr">
        <is>
          <t xml:space="preserve">Q1 2025</t>
        </is>
      </c>
      <c r="S4" s="3" t="inlineStr">
        <is>
          <t xml:space="preserve">Q2 2025</t>
        </is>
      </c>
      <c r="T4" s="3" t="inlineStr">
        <is>
          <t xml:space="preserve">Q3 2025</t>
        </is>
      </c>
      <c r="U4" s="3" t="inlineStr">
        <is>
          <t xml:space="preserve">Q4 2025</t>
        </is>
      </c>
    </row>
    <row r="5" ht="26.25" customHeight="1">
      <c r="A5" s="4" t="inlineStr">
        <is>
          <t xml:space="preserve">Automotive revenues</t>
        </is>
      </c>
      <c r="B5" s="23">
        <v>7500</v>
      </c>
      <c r="C5" s="23">
        <v>8600</v>
      </c>
      <c r="D5" s="23">
        <v>9800</v>
      </c>
      <c r="E5" s="23">
        <v>11200</v>
      </c>
      <c r="F5" s="23">
        <v>12300</v>
      </c>
      <c r="G5" s="23">
        <v>13800</v>
      </c>
      <c r="H5" s="23">
        <v>15200</v>
      </c>
      <c r="I5" s="23">
        <v>16800</v>
      </c>
      <c r="J5" s="23">
        <v>18500</v>
      </c>
      <c r="K5" s="23">
        <v>19500</v>
      </c>
      <c r="L5" s="23">
        <v>20400</v>
      </c>
      <c r="M5" s="23">
        <v>21000</v>
      </c>
      <c r="N5" s="23">
        <v>20000</v>
      </c>
      <c r="O5" s="23">
        <v>21500</v>
      </c>
      <c r="P5" s="23">
        <v>22500</v>
      </c>
      <c r="Q5" s="23">
        <v>23500</v>
      </c>
      <c r="R5" s="23">
        <v>24500</v>
      </c>
      <c r="S5" s="23">
        <v>26000</v>
      </c>
      <c r="T5" s="23">
        <v>27500</v>
      </c>
      <c r="U5" s="23">
        <v>28500</v>
      </c>
    </row>
    <row r="6" ht="26.25" customHeight="1">
      <c r="A6" s="6" t="inlineStr">
        <is>
          <t xml:space="preserve">Energy generation &amp; storage revenues</t>
        </is>
      </c>
      <c r="B6" s="15">
        <v>1500</v>
      </c>
      <c r="C6" s="15">
        <v>1600</v>
      </c>
      <c r="D6" s="15">
        <v>1750</v>
      </c>
      <c r="E6" s="15">
        <v>1900</v>
      </c>
      <c r="F6" s="15">
        <v>2100</v>
      </c>
      <c r="G6" s="15">
        <v>2250</v>
      </c>
      <c r="H6" s="15">
        <v>2400</v>
      </c>
      <c r="I6" s="15">
        <v>2600</v>
      </c>
      <c r="J6" s="15">
        <v>2900</v>
      </c>
      <c r="K6" s="15">
        <v>3100</v>
      </c>
      <c r="L6" s="15">
        <v>3350</v>
      </c>
      <c r="M6" s="15">
        <v>3600</v>
      </c>
      <c r="N6" s="15">
        <v>3900</v>
      </c>
      <c r="O6" s="15">
        <v>4100</v>
      </c>
      <c r="P6" s="15">
        <v>4300</v>
      </c>
      <c r="Q6" s="15">
        <v>4600</v>
      </c>
      <c r="R6" s="15">
        <v>4900</v>
      </c>
      <c r="S6" s="15">
        <v>5300</v>
      </c>
      <c r="T6" s="15">
        <v>5700</v>
      </c>
      <c r="U6" s="15">
        <v>6100</v>
      </c>
    </row>
    <row r="7" ht="26.25" customHeight="1">
      <c r="A7" s="6" t="inlineStr">
        <is>
          <t xml:space="preserve">Services and other revenues</t>
        </is>
      </c>
      <c r="B7" s="15">
        <v>1200</v>
      </c>
      <c r="C7" s="15">
        <v>1300</v>
      </c>
      <c r="D7" s="15">
        <v>1450</v>
      </c>
      <c r="E7" s="15">
        <v>1600</v>
      </c>
      <c r="F7" s="15">
        <v>1750</v>
      </c>
      <c r="G7" s="15">
        <v>1900</v>
      </c>
      <c r="H7" s="15">
        <v>2050</v>
      </c>
      <c r="I7" s="15">
        <v>2250</v>
      </c>
      <c r="J7" s="15">
        <v>2450</v>
      </c>
      <c r="K7" s="15">
        <v>2600</v>
      </c>
      <c r="L7" s="15">
        <v>2750</v>
      </c>
      <c r="M7" s="15">
        <v>2950</v>
      </c>
      <c r="N7" s="15">
        <v>3050</v>
      </c>
      <c r="O7" s="15">
        <v>3180</v>
      </c>
      <c r="P7" s="15">
        <v>3300</v>
      </c>
      <c r="Q7" s="15">
        <v>3450</v>
      </c>
      <c r="R7" s="15">
        <v>3600</v>
      </c>
      <c r="S7" s="15">
        <v>3750</v>
      </c>
      <c r="T7" s="15">
        <v>3900</v>
      </c>
      <c r="U7" s="15">
        <v>4100</v>
      </c>
    </row>
    <row r="8">
      <c r="A8" s="8" t="inlineStr">
        <is>
          <t xml:space="preserve">Total revenues</t>
        </is>
      </c>
      <c r="B8" s="17">
        <f>SUM(B5:B7)</f>
        <v>10200</v>
      </c>
      <c r="C8" s="17">
        <f>SUM(C5:C7)</f>
        <v>11500</v>
      </c>
      <c r="D8" s="17">
        <f>SUM(D5:D7)</f>
        <v>13000</v>
      </c>
      <c r="E8" s="17">
        <f>SUM(E5:E7)</f>
        <v>14700</v>
      </c>
      <c r="F8" s="17">
        <f>SUM(F5:F7)</f>
        <v>16150</v>
      </c>
      <c r="G8" s="17">
        <f>SUM(G5:G7)</f>
        <v>17950</v>
      </c>
      <c r="H8" s="17">
        <f>SUM(H5:H7)</f>
        <v>19650</v>
      </c>
      <c r="I8" s="17">
        <f>SUM(I5:I7)</f>
        <v>21650</v>
      </c>
      <c r="J8" s="17">
        <f>SUM(J5:J7)</f>
        <v>23850</v>
      </c>
      <c r="K8" s="17">
        <f>SUM(K5:K7)</f>
        <v>25200</v>
      </c>
      <c r="L8" s="17">
        <f>SUM(L5:L7)</f>
        <v>26500</v>
      </c>
      <c r="M8" s="17">
        <f>SUM(M5:M7)</f>
        <v>27550</v>
      </c>
      <c r="N8" s="17">
        <f>SUM(N5:N7)</f>
        <v>26950</v>
      </c>
      <c r="O8" s="17">
        <f>SUM(O5:O7)</f>
        <v>28780</v>
      </c>
      <c r="P8" s="17">
        <f>SUM(P5:P7)</f>
        <v>30100</v>
      </c>
      <c r="Q8" s="17">
        <f>SUM(Q5:Q7)</f>
        <v>31550</v>
      </c>
      <c r="R8" s="17">
        <f>SUM(R5:R7)</f>
        <v>33000</v>
      </c>
      <c r="S8" s="17">
        <f>SUM(S5:S7)</f>
        <v>35050</v>
      </c>
      <c r="T8" s="17">
        <f>SUM(T5:T7)</f>
        <v>37100</v>
      </c>
      <c r="U8" s="17">
        <f>SUM(U5:U7)</f>
        <v>38700</v>
      </c>
    </row>
    <row r="9">
      <c r="A9" s="6" t="inlineStr">
        <is>
          <t xml:space="preserve">Cost of revenues</t>
        </is>
      </c>
      <c r="B9" s="15">
        <v>7650</v>
      </c>
      <c r="C9" s="15">
        <v>8700</v>
      </c>
      <c r="D9" s="15">
        <v>9850</v>
      </c>
      <c r="E9" s="15">
        <v>11200</v>
      </c>
      <c r="F9" s="15">
        <v>11950</v>
      </c>
      <c r="G9" s="15">
        <v>13150</v>
      </c>
      <c r="H9" s="15">
        <v>14250</v>
      </c>
      <c r="I9" s="15">
        <v>15450</v>
      </c>
      <c r="J9" s="15">
        <v>17650</v>
      </c>
      <c r="K9" s="15">
        <v>18250</v>
      </c>
      <c r="L9" s="15">
        <v>19000</v>
      </c>
      <c r="M9" s="15">
        <v>19750</v>
      </c>
      <c r="N9" s="15">
        <v>19600</v>
      </c>
      <c r="O9" s="15">
        <v>21300</v>
      </c>
      <c r="P9" s="15">
        <v>22100</v>
      </c>
      <c r="Q9" s="15">
        <v>23100</v>
      </c>
      <c r="R9" s="15">
        <v>24200</v>
      </c>
      <c r="S9" s="15">
        <v>25400</v>
      </c>
      <c r="T9" s="15">
        <v>26500</v>
      </c>
      <c r="U9" s="15">
        <v>27500</v>
      </c>
    </row>
    <row r="10">
      <c r="A10" s="6" t="inlineStr">
        <is>
          <t xml:space="preserve">Gross profit</t>
        </is>
      </c>
      <c r="B10" s="15">
        <f>B8-B9</f>
        <v>2550</v>
      </c>
      <c r="C10" s="15">
        <f>C8-C9</f>
        <v>2800</v>
      </c>
      <c r="D10" s="15">
        <f>D8-D9</f>
        <v>3150</v>
      </c>
      <c r="E10" s="15">
        <f>E8-E9</f>
        <v>3500</v>
      </c>
      <c r="F10" s="15">
        <f>F8-F9</f>
        <v>4200</v>
      </c>
      <c r="G10" s="15">
        <f>G8-G9</f>
        <v>4800</v>
      </c>
      <c r="H10" s="15">
        <f>H8-H9</f>
        <v>5400</v>
      </c>
      <c r="I10" s="15">
        <f>I8-I9</f>
        <v>6200</v>
      </c>
      <c r="J10" s="15">
        <f>J8-J9</f>
        <v>6200</v>
      </c>
      <c r="K10" s="15">
        <f>K8-K9</f>
        <v>6950</v>
      </c>
      <c r="L10" s="15">
        <f>L8-L9</f>
        <v>7500</v>
      </c>
      <c r="M10" s="15">
        <f>M8-M9</f>
        <v>7800</v>
      </c>
      <c r="N10" s="15">
        <f>N8-N9</f>
        <v>7350</v>
      </c>
      <c r="O10" s="15">
        <f>O8-O9</f>
        <v>7480</v>
      </c>
      <c r="P10" s="15">
        <f>P8-P9</f>
        <v>8000</v>
      </c>
      <c r="Q10" s="15">
        <f>Q8-Q9</f>
        <v>8450</v>
      </c>
      <c r="R10" s="15">
        <f>R8-R9</f>
        <v>8800</v>
      </c>
      <c r="S10" s="15">
        <f>S8-S9</f>
        <v>9650</v>
      </c>
      <c r="T10" s="15">
        <f>T8-T9</f>
        <v>10600</v>
      </c>
      <c r="U10" s="15">
        <f>U8-U9</f>
        <v>11200</v>
      </c>
    </row>
    <row r="11">
      <c r="A11" s="6" t="inlineStr">
        <is>
          <t xml:space="preserve">Gross margin (%)</t>
        </is>
      </c>
      <c r="B11" s="16">
        <f>B10/B8</f>
        <v>0.25</v>
      </c>
      <c r="C11" s="16">
        <f>C10/C8</f>
        <v>0.24347826086956523</v>
      </c>
      <c r="D11" s="16">
        <f>D10/D8</f>
        <v>0.2423076923076923</v>
      </c>
      <c r="E11" s="16">
        <f>E10/E8</f>
        <v>0.23809523809523808</v>
      </c>
      <c r="F11" s="16">
        <f>F10/F8</f>
        <v>0.26006191950464397</v>
      </c>
      <c r="G11" s="16">
        <f>G10/G8</f>
        <v>0.26740947075208915</v>
      </c>
      <c r="H11" s="16">
        <f>H10/H8</f>
        <v>0.2748091603053435</v>
      </c>
      <c r="I11" s="16">
        <f>I10/I8</f>
        <v>0.2863741339491917</v>
      </c>
      <c r="J11" s="16">
        <f>J10/J8</f>
        <v>0.259958071278826</v>
      </c>
      <c r="K11" s="16">
        <f>K10/K8</f>
        <v>0.2757936507936508</v>
      </c>
      <c r="L11" s="16">
        <f>L10/L8</f>
        <v>0.2830188679245283</v>
      </c>
      <c r="M11" s="16">
        <f>M10/M8</f>
        <v>0.2831215970961887</v>
      </c>
      <c r="N11" s="16">
        <f>N10/N8</f>
        <v>0.2727272727272727</v>
      </c>
      <c r="O11" s="16">
        <f>O10/O8</f>
        <v>0.2599027102154274</v>
      </c>
      <c r="P11" s="16">
        <f>P10/P8</f>
        <v>0.26578073089701</v>
      </c>
      <c r="Q11" s="16">
        <f>Q10/Q8</f>
        <v>0.26782884310618066</v>
      </c>
      <c r="R11" s="16">
        <f>R10/R8</f>
        <v>0.26666666666666666</v>
      </c>
      <c r="S11" s="16">
        <f>S10/S8</f>
        <v>0.275320970042796</v>
      </c>
      <c r="T11" s="16">
        <f>T10/T8</f>
        <v>0.2857142857142857</v>
      </c>
      <c r="U11" s="16">
        <f>U10/U8</f>
        <v>0.28940568475452194</v>
      </c>
    </row>
    <row r="12">
      <c r="A12" s="6" t="inlineStr">
        <is>
          <t xml:space="preserve">Research &amp; development</t>
        </is>
      </c>
      <c r="B12" s="15">
        <v>550</v>
      </c>
      <c r="C12" s="15">
        <v>575</v>
      </c>
      <c r="D12" s="15">
        <v>600</v>
      </c>
      <c r="E12" s="15">
        <v>625</v>
      </c>
      <c r="F12" s="15">
        <v>650</v>
      </c>
      <c r="G12" s="15">
        <v>675</v>
      </c>
      <c r="H12" s="15">
        <v>700</v>
      </c>
      <c r="I12" s="15">
        <v>725</v>
      </c>
      <c r="J12" s="15">
        <v>750</v>
      </c>
      <c r="K12" s="15">
        <v>775</v>
      </c>
      <c r="L12" s="15">
        <v>800</v>
      </c>
      <c r="M12" s="15">
        <v>825</v>
      </c>
      <c r="N12" s="15">
        <v>850</v>
      </c>
      <c r="O12" s="15">
        <v>875</v>
      </c>
      <c r="P12" s="15">
        <v>900</v>
      </c>
      <c r="Q12" s="15">
        <v>925</v>
      </c>
      <c r="R12" s="15">
        <v>950</v>
      </c>
      <c r="S12" s="15">
        <v>975</v>
      </c>
      <c r="T12" s="15">
        <v>1000</v>
      </c>
      <c r="U12" s="15">
        <v>1050</v>
      </c>
    </row>
    <row r="13">
      <c r="A13" s="6" t="inlineStr">
        <is>
          <t xml:space="preserve">Selling, general &amp; administrative</t>
        </is>
      </c>
      <c r="B13" s="15">
        <v>450</v>
      </c>
      <c r="C13" s="15">
        <v>465</v>
      </c>
      <c r="D13" s="15">
        <v>480</v>
      </c>
      <c r="E13" s="15">
        <v>500</v>
      </c>
      <c r="F13" s="15">
        <v>515</v>
      </c>
      <c r="G13" s="15">
        <v>530</v>
      </c>
      <c r="H13" s="15">
        <v>550</v>
      </c>
      <c r="I13" s="15">
        <v>570</v>
      </c>
      <c r="J13" s="15">
        <v>585</v>
      </c>
      <c r="K13" s="15">
        <v>600</v>
      </c>
      <c r="L13" s="15">
        <v>620</v>
      </c>
      <c r="M13" s="15">
        <v>640</v>
      </c>
      <c r="N13" s="15">
        <v>650</v>
      </c>
      <c r="O13" s="15">
        <v>660</v>
      </c>
      <c r="P13" s="15">
        <v>675</v>
      </c>
      <c r="Q13" s="15">
        <v>690</v>
      </c>
      <c r="R13" s="15">
        <v>700</v>
      </c>
      <c r="S13" s="15">
        <v>715</v>
      </c>
      <c r="T13" s="15">
        <v>730</v>
      </c>
      <c r="U13" s="15">
        <v>750</v>
      </c>
    </row>
    <row r="14">
      <c r="A14" s="6" t="inlineStr">
        <is>
          <t xml:space="preserve">Total operating expenses</t>
        </is>
      </c>
      <c r="B14" s="15">
        <f>B12+B13</f>
        <v>1000</v>
      </c>
      <c r="C14" s="15">
        <f>C12+C13</f>
        <v>1040</v>
      </c>
      <c r="D14" s="15">
        <f>D12+D13</f>
        <v>1080</v>
      </c>
      <c r="E14" s="15">
        <f>E12+E13</f>
        <v>1125</v>
      </c>
      <c r="F14" s="15">
        <f>F12+F13</f>
        <v>1165</v>
      </c>
      <c r="G14" s="15">
        <f>G12+G13</f>
        <v>1205</v>
      </c>
      <c r="H14" s="15">
        <f>H12+H13</f>
        <v>1250</v>
      </c>
      <c r="I14" s="15">
        <f>I12+I13</f>
        <v>1295</v>
      </c>
      <c r="J14" s="15">
        <f>J12+J13</f>
        <v>1335</v>
      </c>
      <c r="K14" s="15">
        <f>K12+K13</f>
        <v>1375</v>
      </c>
      <c r="L14" s="15">
        <f>L12+L13</f>
        <v>1420</v>
      </c>
      <c r="M14" s="15">
        <f>M12+M13</f>
        <v>1465</v>
      </c>
      <c r="N14" s="15">
        <f>N12+N13</f>
        <v>1500</v>
      </c>
      <c r="O14" s="15">
        <f>O12+O13</f>
        <v>1535</v>
      </c>
      <c r="P14" s="15">
        <f>P12+P13</f>
        <v>1575</v>
      </c>
      <c r="Q14" s="15">
        <f>Q12+Q13</f>
        <v>1615</v>
      </c>
      <c r="R14" s="15">
        <f>R12+R13</f>
        <v>1650</v>
      </c>
      <c r="S14" s="15">
        <f>S12+S13</f>
        <v>1690</v>
      </c>
      <c r="T14" s="15">
        <f>T12+T13</f>
        <v>1730</v>
      </c>
      <c r="U14" s="15">
        <f>U12+U13</f>
        <v>1800</v>
      </c>
    </row>
    <row r="15">
      <c r="A15" s="8" t="inlineStr">
        <is>
          <t xml:space="preserve">Operating income</t>
        </is>
      </c>
      <c r="B15" s="17">
        <f>B10-B14</f>
        <v>1550</v>
      </c>
      <c r="C15" s="17">
        <f>C10-C14</f>
        <v>1760</v>
      </c>
      <c r="D15" s="17">
        <f>D10-D14</f>
        <v>2070</v>
      </c>
      <c r="E15" s="17">
        <f>E10-E14</f>
        <v>2375</v>
      </c>
      <c r="F15" s="17">
        <f>F10-F14</f>
        <v>3035</v>
      </c>
      <c r="G15" s="17">
        <f>G10-G14</f>
        <v>3595</v>
      </c>
      <c r="H15" s="17">
        <f>H10-H14</f>
        <v>4150</v>
      </c>
      <c r="I15" s="17">
        <f>I10-I14</f>
        <v>4905</v>
      </c>
      <c r="J15" s="17">
        <f>J10-J14</f>
        <v>4865</v>
      </c>
      <c r="K15" s="17">
        <f>K10-K14</f>
        <v>5575</v>
      </c>
      <c r="L15" s="17">
        <f>L10-L14</f>
        <v>6080</v>
      </c>
      <c r="M15" s="17">
        <f>M10-M14</f>
        <v>6335</v>
      </c>
      <c r="N15" s="17">
        <f>N10-N14</f>
        <v>5850</v>
      </c>
      <c r="O15" s="17">
        <f>O10-O14</f>
        <v>5945</v>
      </c>
      <c r="P15" s="17">
        <f>P10-P14</f>
        <v>6425</v>
      </c>
      <c r="Q15" s="17">
        <f>Q10-Q14</f>
        <v>6835</v>
      </c>
      <c r="R15" s="17">
        <f>R10-R14</f>
        <v>7150</v>
      </c>
      <c r="S15" s="17">
        <f>S10-S14</f>
        <v>7960</v>
      </c>
      <c r="T15" s="17">
        <f>T10-T14</f>
        <v>8870</v>
      </c>
      <c r="U15" s="17">
        <f>U10-U14</f>
        <v>9400</v>
      </c>
    </row>
    <row r="16">
      <c r="A16" s="6" t="inlineStr">
        <is>
          <t xml:space="preserve">Operating margin (%)</t>
        </is>
      </c>
      <c r="B16" s="16">
        <f>B15/B8</f>
        <v>0.15196078431372548</v>
      </c>
      <c r="C16" s="16">
        <f>C15/C8</f>
        <v>0.15304347826086956</v>
      </c>
      <c r="D16" s="16">
        <f>D15/D8</f>
        <v>0.15923076923076923</v>
      </c>
      <c r="E16" s="16">
        <f>E15/E8</f>
        <v>0.16156462585034015</v>
      </c>
      <c r="F16" s="16">
        <f>F15/F8</f>
        <v>0.18792569659442723</v>
      </c>
      <c r="G16" s="16">
        <f>G15/G8</f>
        <v>0.20027855153203342</v>
      </c>
      <c r="H16" s="16">
        <f>H15/H8</f>
        <v>0.21119592875318066</v>
      </c>
      <c r="I16" s="16">
        <f>I15/I8</f>
        <v>0.22655889145496536</v>
      </c>
      <c r="J16" s="16">
        <f>J15/J8</f>
        <v>0.2039832285115304</v>
      </c>
      <c r="K16" s="16">
        <f>K15/K8</f>
        <v>0.22123015873015872</v>
      </c>
      <c r="L16" s="16">
        <f>L15/L8</f>
        <v>0.22943396226415094</v>
      </c>
      <c r="M16" s="16">
        <f>M15/M8</f>
        <v>0.22994555353901996</v>
      </c>
      <c r="N16" s="16">
        <f>N15/N8</f>
        <v>0.21706864564007422</v>
      </c>
      <c r="O16" s="16">
        <f>O15/O8</f>
        <v>0.20656706045865184</v>
      </c>
      <c r="P16" s="16">
        <f>P15/P8</f>
        <v>0.21345514950166114</v>
      </c>
      <c r="Q16" s="16">
        <f>Q15/Q8</f>
        <v>0.21664025356576863</v>
      </c>
      <c r="R16" s="16">
        <f>R15/R8</f>
        <v>0.21666666666666667</v>
      </c>
      <c r="S16" s="16">
        <f>S15/S8</f>
        <v>0.22710413694721826</v>
      </c>
      <c r="T16" s="16">
        <f>T15/T8</f>
        <v>0.23908355795148248</v>
      </c>
      <c r="U16" s="16">
        <f>U15/U8</f>
        <v>0.24289405684754523</v>
      </c>
    </row>
    <row r="17">
      <c r="A17" s="6" t="inlineStr">
        <is>
          <t xml:space="preserve">Interest income</t>
        </is>
      </c>
      <c r="B17" s="15">
        <v>30</v>
      </c>
      <c r="C17" s="15">
        <v>35</v>
      </c>
      <c r="D17" s="15">
        <v>40</v>
      </c>
      <c r="E17" s="15">
        <v>45</v>
      </c>
      <c r="F17" s="15">
        <v>50</v>
      </c>
      <c r="G17" s="15">
        <v>55</v>
      </c>
      <c r="H17" s="15">
        <v>60</v>
      </c>
      <c r="I17" s="15">
        <v>65</v>
      </c>
      <c r="J17" s="15">
        <v>80</v>
      </c>
      <c r="K17" s="15">
        <v>85</v>
      </c>
      <c r="L17" s="15">
        <v>90</v>
      </c>
      <c r="M17" s="15">
        <v>95</v>
      </c>
      <c r="N17" s="15">
        <v>100</v>
      </c>
      <c r="O17" s="15">
        <v>105</v>
      </c>
      <c r="P17" s="15">
        <v>110</v>
      </c>
      <c r="Q17" s="15">
        <v>115</v>
      </c>
      <c r="R17" s="15">
        <v>120</v>
      </c>
      <c r="S17" s="15">
        <v>125</v>
      </c>
      <c r="T17" s="15">
        <v>130</v>
      </c>
      <c r="U17" s="15">
        <v>135</v>
      </c>
    </row>
    <row r="18">
      <c r="A18" s="6" t="inlineStr">
        <is>
          <t xml:space="preserve">Interest expense</t>
        </is>
      </c>
      <c r="B18" s="15">
        <v>90</v>
      </c>
      <c r="C18" s="15">
        <v>90</v>
      </c>
      <c r="D18" s="15">
        <v>95</v>
      </c>
      <c r="E18" s="15">
        <v>95</v>
      </c>
      <c r="F18" s="15">
        <v>100</v>
      </c>
      <c r="G18" s="15">
        <v>100</v>
      </c>
      <c r="H18" s="15">
        <v>105</v>
      </c>
      <c r="I18" s="15">
        <v>105</v>
      </c>
      <c r="J18" s="15">
        <v>110</v>
      </c>
      <c r="K18" s="15">
        <v>110</v>
      </c>
      <c r="L18" s="15">
        <v>110</v>
      </c>
      <c r="M18" s="15">
        <v>110</v>
      </c>
      <c r="N18" s="15">
        <v>108</v>
      </c>
      <c r="O18" s="15">
        <v>108</v>
      </c>
      <c r="P18" s="15">
        <v>106</v>
      </c>
      <c r="Q18" s="15">
        <v>106</v>
      </c>
      <c r="R18" s="15">
        <v>104</v>
      </c>
      <c r="S18" s="15">
        <v>104</v>
      </c>
      <c r="T18" s="15">
        <v>102</v>
      </c>
      <c r="U18" s="15">
        <v>102</v>
      </c>
    </row>
    <row r="19">
      <c r="A19" s="6" t="inlineStr">
        <is>
          <t xml:space="preserve">Other income/(expense), net</t>
        </is>
      </c>
      <c r="B19" s="15">
        <v>20</v>
      </c>
      <c r="C19" s="15">
        <v>25</v>
      </c>
      <c r="D19" s="15">
        <v>15</v>
      </c>
      <c r="E19" s="15">
        <v>30</v>
      </c>
      <c r="F19" s="15">
        <v>10</v>
      </c>
      <c r="G19" s="15">
        <v>-15</v>
      </c>
      <c r="H19" s="15">
        <v>25</v>
      </c>
      <c r="I19" s="15">
        <v>-10</v>
      </c>
      <c r="J19" s="15">
        <v>5</v>
      </c>
      <c r="K19" s="15">
        <v>15</v>
      </c>
      <c r="L19" s="15">
        <v>-5</v>
      </c>
      <c r="M19" s="15">
        <v>10</v>
      </c>
      <c r="N19" s="15">
        <v>12</v>
      </c>
      <c r="O19" s="15">
        <v>-8</v>
      </c>
      <c r="P19" s="15">
        <v>18</v>
      </c>
      <c r="Q19" s="15">
        <v>5</v>
      </c>
      <c r="R19" s="15">
        <v>10</v>
      </c>
      <c r="S19" s="15">
        <v>15</v>
      </c>
      <c r="T19" s="15">
        <v>-10</v>
      </c>
      <c r="U19" s="15">
        <v>20</v>
      </c>
    </row>
    <row r="20">
      <c r="A20" s="6" t="inlineStr">
        <is>
          <t xml:space="preserve">Pre-tax income</t>
        </is>
      </c>
      <c r="B20" s="15">
        <f>B15+B17-B18+B19</f>
        <v>1510</v>
      </c>
      <c r="C20" s="15">
        <f>C15+C17-C18+C19</f>
        <v>1730</v>
      </c>
      <c r="D20" s="15">
        <f>D15+D17-D18+D19</f>
        <v>2030</v>
      </c>
      <c r="E20" s="15">
        <f>E15+E17-E18+E19</f>
        <v>2355</v>
      </c>
      <c r="F20" s="15">
        <f>F15+F17-F18+F19</f>
        <v>2995</v>
      </c>
      <c r="G20" s="15">
        <f>G15+G17-G18+G19</f>
        <v>3535</v>
      </c>
      <c r="H20" s="15">
        <f>H15+H17-H18+H19</f>
        <v>4130</v>
      </c>
      <c r="I20" s="15">
        <f>I15+I17-I18+I19</f>
        <v>4855</v>
      </c>
      <c r="J20" s="15">
        <f>J15+J17-J18+J19</f>
        <v>4840</v>
      </c>
      <c r="K20" s="15">
        <f>K15+K17-K18+K19</f>
        <v>5565</v>
      </c>
      <c r="L20" s="15">
        <f>L15+L17-L18+L19</f>
        <v>6055</v>
      </c>
      <c r="M20" s="15">
        <f>M15+M17-M18+M19</f>
        <v>6330</v>
      </c>
      <c r="N20" s="15">
        <f>N15+N17-N18+N19</f>
        <v>5854</v>
      </c>
      <c r="O20" s="15">
        <f>O15+O17-O18+O19</f>
        <v>5934</v>
      </c>
      <c r="P20" s="15">
        <f>P15+P17-P18+P19</f>
        <v>6447</v>
      </c>
      <c r="Q20" s="15">
        <f>Q15+Q17-Q18+Q19</f>
        <v>6849</v>
      </c>
      <c r="R20" s="15">
        <f>R15+R17-R18+R19</f>
        <v>7176</v>
      </c>
      <c r="S20" s="15">
        <f>S15+S17-S18+S19</f>
        <v>7996</v>
      </c>
      <c r="T20" s="15">
        <f>T15+T17-T18+T19</f>
        <v>8888</v>
      </c>
      <c r="U20" s="15">
        <f>U15+U17-U18+U19</f>
        <v>9453</v>
      </c>
    </row>
    <row r="21">
      <c r="A21" s="6" t="inlineStr">
        <is>
          <t xml:space="preserve">Provision for income taxes</t>
        </is>
      </c>
      <c r="B21" s="15">
        <f>ROUND(B20*Assumptions!$B$5,0)</f>
        <v>302</v>
      </c>
      <c r="C21" s="15">
        <f>ROUND(C20*Assumptions!$B$5,0)</f>
        <v>346</v>
      </c>
      <c r="D21" s="15">
        <f>ROUND(D20*Assumptions!$B$5,0)</f>
        <v>406</v>
      </c>
      <c r="E21" s="15">
        <f>ROUND(E20*Assumptions!$B$5,0)</f>
        <v>471</v>
      </c>
      <c r="F21" s="15">
        <f>ROUND(F20*Assumptions!$B$5,0)</f>
        <v>599</v>
      </c>
      <c r="G21" s="15">
        <f>ROUND(G20*Assumptions!$B$5,0)</f>
        <v>707</v>
      </c>
      <c r="H21" s="15">
        <f>ROUND(H20*Assumptions!$B$5,0)</f>
        <v>826</v>
      </c>
      <c r="I21" s="15">
        <f>ROUND(I20*Assumptions!$B$5,0)</f>
        <v>971</v>
      </c>
      <c r="J21" s="15">
        <f>ROUND(J20*Assumptions!$B$5,0)</f>
        <v>968</v>
      </c>
      <c r="K21" s="15">
        <f>ROUND(K20*Assumptions!$B$5,0)</f>
        <v>1113</v>
      </c>
      <c r="L21" s="15">
        <f>ROUND(L20*Assumptions!$B$5,0)</f>
        <v>1211</v>
      </c>
      <c r="M21" s="15">
        <f>ROUND(M20*Assumptions!$B$5,0)</f>
        <v>1266</v>
      </c>
      <c r="N21" s="15">
        <f>ROUND(N20*Assumptions!$B$5,0)</f>
        <v>1171</v>
      </c>
      <c r="O21" s="15">
        <f>ROUND(O20*Assumptions!$B$5,0)</f>
        <v>1187</v>
      </c>
      <c r="P21" s="15">
        <f>ROUND(P20*Assumptions!$B$5,0)</f>
        <v>1289</v>
      </c>
      <c r="Q21" s="15">
        <f>ROUND(Q20*Assumptions!$B$5,0)</f>
        <v>1370</v>
      </c>
      <c r="R21" s="15">
        <f>ROUND(R20*Assumptions!$B$5,0)</f>
        <v>1435</v>
      </c>
      <c r="S21" s="15">
        <f>ROUND(S20*Assumptions!$B$5,0)</f>
        <v>1599</v>
      </c>
      <c r="T21" s="15">
        <f>ROUND(T20*Assumptions!$B$5,0)</f>
        <v>1778</v>
      </c>
      <c r="U21" s="15">
        <f>ROUND(U20*Assumptions!$B$5,0)</f>
        <v>1891</v>
      </c>
    </row>
    <row r="22">
      <c r="A22" s="8" t="inlineStr">
        <is>
          <t xml:space="preserve">Net income</t>
        </is>
      </c>
      <c r="B22" s="17">
        <f>B20-B21</f>
        <v>1208</v>
      </c>
      <c r="C22" s="17">
        <f>C20-C21</f>
        <v>1384</v>
      </c>
      <c r="D22" s="17">
        <f>D20-D21</f>
        <v>1624</v>
      </c>
      <c r="E22" s="17">
        <f>E20-E21</f>
        <v>1884</v>
      </c>
      <c r="F22" s="17">
        <f>F20-F21</f>
        <v>2396</v>
      </c>
      <c r="G22" s="17">
        <f>G20-G21</f>
        <v>2828</v>
      </c>
      <c r="H22" s="17">
        <f>H20-H21</f>
        <v>3304</v>
      </c>
      <c r="I22" s="17">
        <f>I20-I21</f>
        <v>3884</v>
      </c>
      <c r="J22" s="17">
        <f>J20-J21</f>
        <v>3872</v>
      </c>
      <c r="K22" s="17">
        <f>K20-K21</f>
        <v>4452</v>
      </c>
      <c r="L22" s="17">
        <f>L20-L21</f>
        <v>4844</v>
      </c>
      <c r="M22" s="17">
        <f>M20-M21</f>
        <v>5064</v>
      </c>
      <c r="N22" s="17">
        <f>N20-N21</f>
        <v>4683</v>
      </c>
      <c r="O22" s="17">
        <f>O20-O21</f>
        <v>4747</v>
      </c>
      <c r="P22" s="17">
        <f>P20-P21</f>
        <v>5158</v>
      </c>
      <c r="Q22" s="17">
        <f>Q20-Q21</f>
        <v>5479</v>
      </c>
      <c r="R22" s="17">
        <f>R20-R21</f>
        <v>5741</v>
      </c>
      <c r="S22" s="17">
        <f>S20-S21</f>
        <v>6397</v>
      </c>
      <c r="T22" s="17">
        <f>T20-T21</f>
        <v>7110</v>
      </c>
      <c r="U22" s="17">
        <f>U20-U21</f>
        <v>7562</v>
      </c>
    </row>
    <row r="23">
      <c r="A23" s="8" t="inlineStr">
        <is>
          <t xml:space="preserve">Net margin (%)</t>
        </is>
      </c>
      <c r="B23" s="18">
        <f>B22/B8</f>
        <v>0.11843137254901961</v>
      </c>
      <c r="C23" s="18">
        <f>C22/C8</f>
        <v>0.12034782608695652</v>
      </c>
      <c r="D23" s="18">
        <f>D22/D8</f>
        <v>0.12492307692307693</v>
      </c>
      <c r="E23" s="18">
        <f>E22/E8</f>
        <v>0.12816326530612246</v>
      </c>
      <c r="F23" s="18">
        <f>F22/F8</f>
        <v>0.148359133126935</v>
      </c>
      <c r="G23" s="18">
        <f>G22/G8</f>
        <v>0.15754874651810585</v>
      </c>
      <c r="H23" s="18">
        <f>H22/H8</f>
        <v>0.16814249363867684</v>
      </c>
      <c r="I23" s="18">
        <f>I22/I8</f>
        <v>0.17939953810623557</v>
      </c>
      <c r="J23" s="18">
        <f>J22/J8</f>
        <v>0.16234800838574423</v>
      </c>
      <c r="K23" s="18">
        <f>K22/K8</f>
        <v>0.17666666666666667</v>
      </c>
      <c r="L23" s="18">
        <f>L22/L8</f>
        <v>0.1827924528301887</v>
      </c>
      <c r="M23" s="18">
        <f>M22/M8</f>
        <v>0.18381125226860254</v>
      </c>
      <c r="N23" s="18">
        <f>N22/N8</f>
        <v>0.17376623376623376</v>
      </c>
      <c r="O23" s="18">
        <f>O22/O8</f>
        <v>0.16494093120222378</v>
      </c>
      <c r="P23" s="18">
        <f>P22/P8</f>
        <v>0.17136212624584718</v>
      </c>
      <c r="Q23" s="18">
        <f>Q22/Q8</f>
        <v>0.1736608557844691</v>
      </c>
      <c r="R23" s="18">
        <f>R22/R8</f>
        <v>0.17396969696969697</v>
      </c>
      <c r="S23" s="18">
        <f>S22/S8</f>
        <v>0.18251069900142652</v>
      </c>
      <c r="T23" s="18">
        <f>T22/T8</f>
        <v>0.19164420485175201</v>
      </c>
      <c r="U23" s="18">
        <f>U22/U8</f>
        <v>0.19540051679586562</v>
      </c>
    </row>
    <row r="24">
      <c r="A24" s="8" t="inlineStr">
        <is>
          <t xml:space="preserve">Diluted EPS (USD)</t>
        </is>
      </c>
      <c r="B24" s="19">
        <f>B22/Assumptions!$B$6</f>
        <v>0.3501449275362319</v>
      </c>
      <c r="C24" s="19">
        <f>C22/Assumptions!$B$6</f>
        <v>0.4011594202898551</v>
      </c>
      <c r="D24" s="19">
        <f>D22/Assumptions!$B$6</f>
        <v>0.4707246376811594</v>
      </c>
      <c r="E24" s="19">
        <f>E22/Assumptions!$B$6</f>
        <v>0.5460869565217391</v>
      </c>
      <c r="F24" s="19">
        <f>F22/Assumptions!$B$6</f>
        <v>0.6944927536231884</v>
      </c>
      <c r="G24" s="19">
        <f>G22/Assumptions!$B$6</f>
        <v>0.8197101449275362</v>
      </c>
      <c r="H24" s="19">
        <f>H22/Assumptions!$B$6</f>
        <v>0.9576811594202899</v>
      </c>
      <c r="I24" s="19">
        <f>I22/Assumptions!$B$6</f>
        <v>1.1257971014492754</v>
      </c>
      <c r="J24" s="19">
        <f>J22/Assumptions!$B$6</f>
        <v>1.1223188405797102</v>
      </c>
      <c r="K24" s="19">
        <f>K22/Assumptions!$B$6</f>
        <v>1.2904347826086957</v>
      </c>
      <c r="L24" s="19">
        <f>L22/Assumptions!$B$6</f>
        <v>1.4040579710144927</v>
      </c>
      <c r="M24" s="19">
        <f>M22/Assumptions!$B$6</f>
        <v>1.4678260869565218</v>
      </c>
      <c r="N24" s="19">
        <f>N22/Assumptions!$B$6</f>
        <v>1.357391304347826</v>
      </c>
      <c r="O24" s="19">
        <f>O22/Assumptions!$B$6</f>
        <v>1.3759420289855073</v>
      </c>
      <c r="P24" s="19">
        <f>P22/Assumptions!$B$6</f>
        <v>1.4950724637681159</v>
      </c>
      <c r="Q24" s="19">
        <f>Q22/Assumptions!$B$6</f>
        <v>1.5881159420289854</v>
      </c>
      <c r="R24" s="19">
        <f>R22/Assumptions!$B$6</f>
        <v>1.6640579710144927</v>
      </c>
      <c r="S24" s="19">
        <f>S22/Assumptions!$B$6</f>
        <v>1.8542028985507246</v>
      </c>
      <c r="T24" s="19">
        <f>T22/Assumptions!$B$6</f>
        <v>2.0608695652173914</v>
      </c>
      <c r="U24" s="19">
        <f>U22/Assumptions!$B$6</f>
        <v>2.1918840579710146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zoomScaleNormal="65" zoomScale="65" workbookViewId="0">
      <pane xSplit="1" ySplit="4" topLeftCell="B5" activePane="bottomRight" state="frozen"/>
    </sheetView>
  </sheetViews>
  <cols>
    <col min="1" max="1" width="32.875" customWidth="1"/>
    <col min="2" max="2" width="6.625" customWidth="1"/>
    <col min="3" max="3" width="6.625" customWidth="1"/>
    <col min="4" max="4" width="7.5" customWidth="1"/>
    <col min="5" max="5" width="7.5" customWidth="1"/>
    <col min="6" max="6" width="7.5" customWidth="1"/>
    <col min="7" max="7" width="11.875" customWidth="1"/>
  </cols>
  <sheetData>
    <row r="1">
      <c r="A1" s="1" t="inlineStr">
        <is>
          <t xml:space="preserve">Tesla, Inc. — Annual Summary (Synthetic)</t>
        </is>
      </c>
      <c r="B1" s="1"/>
      <c r="C1" s="1"/>
      <c r="D1" s="1"/>
      <c r="E1" s="1"/>
      <c r="F1" s="1"/>
      <c r="G1" s="1"/>
    </row>
    <row r="2">
      <c r="A2" s="2" t="inlineStr">
        <is>
          <t xml:space="preserve">Synthetic example — NOT actual Tesla results. USD millions unless noted. Annual figures = sum of the four calendar quarters.</t>
        </is>
      </c>
      <c r="B2" s="2"/>
      <c r="C2" s="2"/>
      <c r="D2" s="2"/>
      <c r="E2" s="2"/>
      <c r="F2" s="2"/>
      <c r="G2" s="2"/>
    </row>
    <row r="4">
      <c r="A4" s="3" t="inlineStr">
        <is>
          <t xml:space="preserve">Line item (USD millions)</t>
        </is>
      </c>
      <c r="B4" s="13">
        <v>2021</v>
      </c>
      <c r="C4" s="13">
        <v>2022</v>
      </c>
      <c r="D4" s="13">
        <v>2023</v>
      </c>
      <c r="E4" s="13">
        <v>2024</v>
      </c>
      <c r="F4" s="13">
        <v>2025</v>
      </c>
      <c r="G4" s="13" t="inlineStr">
        <is>
          <t xml:space="preserve">CAGR 2021–25</t>
        </is>
      </c>
    </row>
    <row r="5">
      <c r="A5" s="4" t="inlineStr">
        <is>
          <t xml:space="preserve">Automotive revenues</t>
        </is>
      </c>
      <c r="B5" s="15">
        <f>SUM('Quarterly IS'!B5:E5)</f>
        <v>37100</v>
      </c>
      <c r="C5" s="15">
        <f>SUM('Quarterly IS'!F5:I5)</f>
        <v>58100</v>
      </c>
      <c r="D5" s="15">
        <f>SUM('Quarterly IS'!J5:M5)</f>
        <v>79400</v>
      </c>
      <c r="E5" s="15">
        <f>SUM('Quarterly IS'!N5:Q5)</f>
        <v>87500</v>
      </c>
      <c r="F5" s="15">
        <f>SUM('Quarterly IS'!R5:U5)</f>
        <v>106500</v>
      </c>
      <c r="G5" s="16">
        <f>(F5/B5)^(1/4)-1</f>
        <v>0.30164910633918</v>
      </c>
    </row>
    <row r="6">
      <c r="A6" s="6" t="inlineStr">
        <is>
          <t xml:space="preserve">Energy generation &amp; storage revenues</t>
        </is>
      </c>
      <c r="B6" s="15">
        <f>SUM('Quarterly IS'!B6:E6)</f>
        <v>6750</v>
      </c>
      <c r="C6" s="15">
        <f>SUM('Quarterly IS'!F6:I6)</f>
        <v>9350</v>
      </c>
      <c r="D6" s="15">
        <f>SUM('Quarterly IS'!J6:M6)</f>
        <v>12950</v>
      </c>
      <c r="E6" s="15">
        <f>SUM('Quarterly IS'!N6:Q6)</f>
        <v>16900</v>
      </c>
      <c r="F6" s="15">
        <f>SUM('Quarterly IS'!R6:U6)</f>
        <v>22000</v>
      </c>
      <c r="G6" s="16">
        <f>(F6/B6)^(1/4)-1</f>
        <v>0.3436301082131497</v>
      </c>
    </row>
    <row r="7">
      <c r="A7" s="6" t="inlineStr">
        <is>
          <t xml:space="preserve">Services and other revenues</t>
        </is>
      </c>
      <c r="B7" s="15">
        <f>SUM('Quarterly IS'!B7:E7)</f>
        <v>5550</v>
      </c>
      <c r="C7" s="15">
        <f>SUM('Quarterly IS'!F7:I7)</f>
        <v>7950</v>
      </c>
      <c r="D7" s="15">
        <f>SUM('Quarterly IS'!J7:M7)</f>
        <v>10750</v>
      </c>
      <c r="E7" s="15">
        <f>SUM('Quarterly IS'!N7:Q7)</f>
        <v>12980</v>
      </c>
      <c r="F7" s="15">
        <f>SUM('Quarterly IS'!R7:U7)</f>
        <v>15350</v>
      </c>
      <c r="G7" s="16">
        <f>(F7/B7)^(1/4)-1</f>
        <v>0.2895965100872535</v>
      </c>
    </row>
    <row r="8">
      <c r="A8" s="8" t="inlineStr">
        <is>
          <t xml:space="preserve">Total revenues</t>
        </is>
      </c>
      <c r="B8" s="17">
        <f>SUM(B5:B7)</f>
        <v>49400</v>
      </c>
      <c r="C8" s="17">
        <f>SUM(C5:C7)</f>
        <v>75400</v>
      </c>
      <c r="D8" s="17">
        <f>SUM(D5:D7)</f>
        <v>103100</v>
      </c>
      <c r="E8" s="17">
        <f>SUM(E5:E7)</f>
        <v>117380</v>
      </c>
      <c r="F8" s="17">
        <f>SUM(F5:F7)</f>
        <v>143850</v>
      </c>
      <c r="G8" s="18">
        <f>(F8/B8)^(1/4)-1</f>
        <v>0.3063084295034242</v>
      </c>
    </row>
    <row r="9">
      <c r="A9" s="6" t="inlineStr">
        <is>
          <t xml:space="preserve">Cost of revenues</t>
        </is>
      </c>
      <c r="B9" s="15">
        <f>SUM('Quarterly IS'!B9:E9)</f>
        <v>37400</v>
      </c>
      <c r="C9" s="15">
        <f>SUM('Quarterly IS'!F9:I9)</f>
        <v>54800</v>
      </c>
      <c r="D9" s="15">
        <f>SUM('Quarterly IS'!J9:M9)</f>
        <v>74650</v>
      </c>
      <c r="E9" s="15">
        <f>SUM('Quarterly IS'!N9:Q9)</f>
        <v>86100</v>
      </c>
      <c r="F9" s="15">
        <f>SUM('Quarterly IS'!R9:U9)</f>
        <v>103600</v>
      </c>
      <c r="G9" s="16">
        <f>(F9/B9)^(1/4)-1</f>
        <v>0.2900960285652017</v>
      </c>
    </row>
    <row r="10">
      <c r="A10" s="6" t="inlineStr">
        <is>
          <t xml:space="preserve">Gross profit</t>
        </is>
      </c>
      <c r="B10" s="15">
        <f>B8-B9</f>
        <v>12000</v>
      </c>
      <c r="C10" s="15">
        <f>C8-C9</f>
        <v>20600</v>
      </c>
      <c r="D10" s="15">
        <f>D8-D9</f>
        <v>28450</v>
      </c>
      <c r="E10" s="15">
        <f>E8-E9</f>
        <v>31280</v>
      </c>
      <c r="F10" s="15">
        <f>F8-F9</f>
        <v>40250</v>
      </c>
      <c r="G10" s="16">
        <f>(F10/B10)^(1/4)-1</f>
        <v>0.3533064747694783</v>
      </c>
    </row>
    <row r="11">
      <c r="A11" s="6" t="inlineStr">
        <is>
          <t xml:space="preserve">Gross margin (%)</t>
        </is>
      </c>
      <c r="B11" s="16">
        <f>B10/B8</f>
        <v>0.242914979757085</v>
      </c>
      <c r="C11" s="16">
        <f>C10/C8</f>
        <v>0.27320954907161804</v>
      </c>
      <c r="D11" s="16">
        <f>D10/D8</f>
        <v>0.27594568380213386</v>
      </c>
      <c r="E11" s="16">
        <f>E10/E8</f>
        <v>0.26648492077014824</v>
      </c>
      <c r="F11" s="16">
        <f>F10/F8</f>
        <v>0.2798053527980535</v>
      </c>
      <c r="G11" s="16" t="inlineStr">
        <is>
          <t xml:space="preserve">—</t>
        </is>
      </c>
    </row>
    <row r="12">
      <c r="A12" s="6" t="inlineStr">
        <is>
          <t xml:space="preserve">Research &amp; development</t>
        </is>
      </c>
      <c r="B12" s="15">
        <f>SUM('Quarterly IS'!B12:E12)</f>
        <v>2350</v>
      </c>
      <c r="C12" s="15">
        <f>SUM('Quarterly IS'!F12:I12)</f>
        <v>2750</v>
      </c>
      <c r="D12" s="15">
        <f>SUM('Quarterly IS'!J12:M12)</f>
        <v>3150</v>
      </c>
      <c r="E12" s="15">
        <f>SUM('Quarterly IS'!N12:Q12)</f>
        <v>3550</v>
      </c>
      <c r="F12" s="15">
        <f>SUM('Quarterly IS'!R12:U12)</f>
        <v>3975</v>
      </c>
      <c r="G12" s="16">
        <f>(F12/B12)^(1/4)-1</f>
        <v>0.1404265453212599</v>
      </c>
    </row>
    <row r="13">
      <c r="A13" s="6" t="inlineStr">
        <is>
          <t xml:space="preserve">Selling, general &amp; administrative</t>
        </is>
      </c>
      <c r="B13" s="15">
        <f>SUM('Quarterly IS'!B13:E13)</f>
        <v>1895</v>
      </c>
      <c r="C13" s="15">
        <f>SUM('Quarterly IS'!F13:I13)</f>
        <v>2165</v>
      </c>
      <c r="D13" s="15">
        <f>SUM('Quarterly IS'!J13:M13)</f>
        <v>2445</v>
      </c>
      <c r="E13" s="15">
        <f>SUM('Quarterly IS'!N13:Q13)</f>
        <v>2675</v>
      </c>
      <c r="F13" s="15">
        <f>SUM('Quarterly IS'!R13:U13)</f>
        <v>2895</v>
      </c>
      <c r="G13" s="16">
        <f>(F13/B13)^(1/4)-1</f>
        <v>0.1117569125650002</v>
      </c>
    </row>
    <row r="14">
      <c r="A14" s="6" t="inlineStr">
        <is>
          <t xml:space="preserve">Total operating expenses</t>
        </is>
      </c>
      <c r="B14" s="15">
        <f>B12+B13</f>
        <v>4245</v>
      </c>
      <c r="C14" s="15">
        <f>C12+C13</f>
        <v>4915</v>
      </c>
      <c r="D14" s="15">
        <f>D12+D13</f>
        <v>5595</v>
      </c>
      <c r="E14" s="15">
        <f>E12+E13</f>
        <v>6225</v>
      </c>
      <c r="F14" s="15">
        <f>F12+F13</f>
        <v>6870</v>
      </c>
      <c r="G14" s="16">
        <f>(F14/B14)^(1/4)-1</f>
        <v>0.1278978287427095</v>
      </c>
    </row>
    <row r="15">
      <c r="A15" s="8" t="inlineStr">
        <is>
          <t xml:space="preserve">Operating income</t>
        </is>
      </c>
      <c r="B15" s="17">
        <f>B10-B14</f>
        <v>7755</v>
      </c>
      <c r="C15" s="17">
        <f>C10-C14</f>
        <v>15685</v>
      </c>
      <c r="D15" s="17">
        <f>D10-D14</f>
        <v>22855</v>
      </c>
      <c r="E15" s="17">
        <f>E10-E14</f>
        <v>25055</v>
      </c>
      <c r="F15" s="17">
        <f>F10-F14</f>
        <v>33380</v>
      </c>
      <c r="G15" s="18">
        <f>(F15/B15)^(1/4)-1</f>
        <v>0.4403768495136333</v>
      </c>
    </row>
    <row r="16">
      <c r="A16" s="6" t="inlineStr">
        <is>
          <t xml:space="preserve">Operating margin (%)</t>
        </is>
      </c>
      <c r="B16" s="16">
        <f>B15/B8</f>
        <v>0.1569838056680162</v>
      </c>
      <c r="C16" s="16">
        <f>C15/C8</f>
        <v>0.2080238726790451</v>
      </c>
      <c r="D16" s="16">
        <f>D15/D8</f>
        <v>0.22167798254122212</v>
      </c>
      <c r="E16" s="16">
        <f>E15/E8</f>
        <v>0.21345203612199692</v>
      </c>
      <c r="F16" s="16">
        <f>F15/F8</f>
        <v>0.23204727146332985</v>
      </c>
      <c r="G16" s="16" t="inlineStr">
        <is>
          <t xml:space="preserve">—</t>
        </is>
      </c>
    </row>
    <row r="17">
      <c r="A17" s="6" t="inlineStr">
        <is>
          <t xml:space="preserve">Interest income</t>
        </is>
      </c>
      <c r="B17" s="15">
        <f>SUM('Quarterly IS'!B17:E17)</f>
        <v>150</v>
      </c>
      <c r="C17" s="15">
        <f>SUM('Quarterly IS'!F17:I17)</f>
        <v>230</v>
      </c>
      <c r="D17" s="15">
        <f>SUM('Quarterly IS'!J17:M17)</f>
        <v>350</v>
      </c>
      <c r="E17" s="15">
        <f>SUM('Quarterly IS'!N17:Q17)</f>
        <v>430</v>
      </c>
      <c r="F17" s="15">
        <f>SUM('Quarterly IS'!R17:U17)</f>
        <v>510</v>
      </c>
      <c r="G17" s="16">
        <f>(F17/B17)^(1/4)-1</f>
        <v>0.3579060687170441</v>
      </c>
    </row>
    <row r="18">
      <c r="A18" s="6" t="inlineStr">
        <is>
          <t xml:space="preserve">Interest expense</t>
        </is>
      </c>
      <c r="B18" s="15">
        <f>SUM('Quarterly IS'!B18:E18)</f>
        <v>370</v>
      </c>
      <c r="C18" s="15">
        <f>SUM('Quarterly IS'!F18:I18)</f>
        <v>410</v>
      </c>
      <c r="D18" s="15">
        <f>SUM('Quarterly IS'!J18:M18)</f>
        <v>440</v>
      </c>
      <c r="E18" s="15">
        <f>SUM('Quarterly IS'!N18:Q18)</f>
        <v>428</v>
      </c>
      <c r="F18" s="15">
        <f>SUM('Quarterly IS'!R18:U18)</f>
        <v>412</v>
      </c>
      <c r="G18" s="16">
        <f>(F18/B18)^(1/4)-1</f>
        <v>0.0272446142927905</v>
      </c>
    </row>
    <row r="19">
      <c r="A19" s="6" t="inlineStr">
        <is>
          <t xml:space="preserve">Other income/(expense), net</t>
        </is>
      </c>
      <c r="B19" s="15">
        <f>SUM('Quarterly IS'!B19:E19)</f>
        <v>90</v>
      </c>
      <c r="C19" s="15">
        <f>SUM('Quarterly IS'!F19:I19)</f>
        <v>10</v>
      </c>
      <c r="D19" s="15">
        <f>SUM('Quarterly IS'!J19:M19)</f>
        <v>25</v>
      </c>
      <c r="E19" s="15">
        <f>SUM('Quarterly IS'!N19:Q19)</f>
        <v>27</v>
      </c>
      <c r="F19" s="15">
        <f>SUM('Quarterly IS'!R19:U19)</f>
        <v>35</v>
      </c>
      <c r="G19" s="16">
        <f>(F19/B19)^(1/4)-1</f>
        <v>-0.2103104632437355</v>
      </c>
    </row>
    <row r="20">
      <c r="A20" s="6" t="inlineStr">
        <is>
          <t xml:space="preserve">Pre-tax income</t>
        </is>
      </c>
      <c r="B20" s="15">
        <f>B15+B17-B18+B19</f>
        <v>7625</v>
      </c>
      <c r="C20" s="15">
        <f>C15+C17-C18+C19</f>
        <v>15515</v>
      </c>
      <c r="D20" s="15">
        <f>D15+D17-D18+D19</f>
        <v>22790</v>
      </c>
      <c r="E20" s="15">
        <f>E15+E17-E18+E19</f>
        <v>25084</v>
      </c>
      <c r="F20" s="15">
        <f>F15+F17-F18+F19</f>
        <v>33513</v>
      </c>
      <c r="G20" s="16">
        <f>(F20/B20)^(1/4)-1</f>
        <v>0.4479159912542132</v>
      </c>
    </row>
    <row r="21">
      <c r="A21" s="6" t="inlineStr">
        <is>
          <t xml:space="preserve">Provision for income taxes</t>
        </is>
      </c>
      <c r="B21" s="15">
        <f>SUM('Quarterly IS'!B21:E21)</f>
        <v>1525</v>
      </c>
      <c r="C21" s="15">
        <f>SUM('Quarterly IS'!F21:I21)</f>
        <v>3103</v>
      </c>
      <c r="D21" s="15">
        <f>SUM('Quarterly IS'!J21:M21)</f>
        <v>4558</v>
      </c>
      <c r="E21" s="15">
        <f>SUM('Quarterly IS'!N21:Q21)</f>
        <v>5017</v>
      </c>
      <c r="F21" s="15">
        <f>SUM('Quarterly IS'!R21:U21)</f>
        <v>6703</v>
      </c>
      <c r="G21" s="16">
        <f>(F21/B21)^(1/4)-1</f>
        <v>0.4479375930742373</v>
      </c>
    </row>
    <row r="22">
      <c r="A22" s="8" t="inlineStr">
        <is>
          <t xml:space="preserve">Net income</t>
        </is>
      </c>
      <c r="B22" s="17">
        <f>B20-B21</f>
        <v>6100</v>
      </c>
      <c r="C22" s="17">
        <f>C20-C21</f>
        <v>12412</v>
      </c>
      <c r="D22" s="17">
        <f>D20-D21</f>
        <v>18232</v>
      </c>
      <c r="E22" s="17">
        <f>E20-E21</f>
        <v>20067</v>
      </c>
      <c r="F22" s="17">
        <f>F20-F21</f>
        <v>26810</v>
      </c>
      <c r="G22" s="18">
        <f>(F22/B22)^(1/4)-1</f>
        <v>0.4479105906481342</v>
      </c>
    </row>
    <row r="23">
      <c r="A23" s="8" t="inlineStr">
        <is>
          <t xml:space="preserve">Net margin (%)</t>
        </is>
      </c>
      <c r="B23" s="18">
        <f>B22/B8</f>
        <v>0.12348178137651822</v>
      </c>
      <c r="C23" s="18">
        <f>C22/C8</f>
        <v>0.1646153846153846</v>
      </c>
      <c r="D23" s="18">
        <f>D22/D8</f>
        <v>0.17683802133850632</v>
      </c>
      <c r="E23" s="18">
        <f>E22/E8</f>
        <v>0.17095757369228148</v>
      </c>
      <c r="F23" s="18">
        <f>F22/F8</f>
        <v>0.18637469586374697</v>
      </c>
      <c r="G23" s="18" t="inlineStr">
        <is>
          <t xml:space="preserve">—</t>
        </is>
      </c>
    </row>
    <row r="24">
      <c r="A24" s="8" t="inlineStr">
        <is>
          <t xml:space="preserve">Diluted EPS (USD)</t>
        </is>
      </c>
      <c r="B24" s="19">
        <f>B22/Assumptions!$B$6</f>
        <v>1.7681159420289856</v>
      </c>
      <c r="C24" s="19">
        <f>C22/Assumptions!$B$6</f>
        <v>3.59768115942029</v>
      </c>
      <c r="D24" s="19">
        <f>D22/Assumptions!$B$6</f>
        <v>5.2846376811594205</v>
      </c>
      <c r="E24" s="19">
        <f>E22/Assumptions!$B$6</f>
        <v>5.816521739130435</v>
      </c>
      <c r="F24" s="19">
        <f>F22/Assumptions!$B$6</f>
        <v>7.771014492753623</v>
      </c>
      <c r="G24" s="18">
        <f>(F24/B24)^(1/4)-1</f>
        <v>0.4479105906481342</v>
      </c>
    </row>
    <row r="25">
      <c r="B25" s="20"/>
      <c r="C25" s="20"/>
      <c r="D25" s="20"/>
      <c r="E25" s="20"/>
      <c r="F25" s="20"/>
    </row>
    <row r="26">
      <c r="A26" s="2" t="inlineStr">
        <is>
          <t xml:space="preserve">Total revenue YoY growth</t>
        </is>
      </c>
      <c r="B26" s="21"/>
      <c r="C26" s="22">
        <f>C8/B8-1</f>
        <v>0.5263157894736843</v>
      </c>
      <c r="D26" s="22">
        <f>D8/C8-1</f>
        <v>0.3673740053050398</v>
      </c>
      <c r="E26" s="22">
        <f>E8/D8-1</f>
        <v>0.138506304558681</v>
      </c>
      <c r="F26" s="22">
        <f>F8/E8-1</f>
        <v>0.2255069006645085</v>
      </c>
      <c r="G26" s="14"/>
    </row>
    <row r="27">
      <c r="A27" s="2" t="inlineStr">
        <is>
          <t xml:space="preserve">Net income YoY growth</t>
        </is>
      </c>
      <c r="B27" s="21"/>
      <c r="C27" s="22">
        <f>C22/B22-1</f>
        <v>1.0347540983606556</v>
      </c>
      <c r="D27" s="22">
        <f>D22/C22-1</f>
        <v>0.4689010634869482</v>
      </c>
      <c r="E27" s="22">
        <f>E22/D22-1</f>
        <v>0.100647213690215</v>
      </c>
      <c r="F27" s="22">
        <f>F22/E22-1</f>
        <v>0.3360243185329148</v>
      </c>
      <c r="G2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zoomScaleNormal="72" zoomScale="72" workbookViewId="0"/>
  </sheetViews>
  <sheetData>
    <row r="1">
      <c r="A1" s="1" t="inlineStr">
        <is>
          <t xml:space="preserve">Tesla, Inc. — Synthetic Model Assumptions</t>
        </is>
      </c>
    </row>
    <row r="2">
      <c r="A2" s="24" t="inlineStr">
        <is>
          <t xml:space="preserve">Synthetic example — NOT actual Tesla results. All figures are illustrative only.</t>
        </is>
      </c>
    </row>
    <row r="4">
      <c r="A4" s="25" t="inlineStr">
        <is>
          <t xml:space="preserve">Parameter</t>
        </is>
      </c>
      <c r="B4" s="25" t="inlineStr">
        <is>
          <t xml:space="preserve">Value</t>
        </is>
      </c>
      <c r="C4" s="25" t="inlineStr">
        <is>
          <t xml:space="preserve">Notes</t>
        </is>
      </c>
    </row>
    <row r="5">
      <c r="A5" t="inlineStr">
        <is>
          <t xml:space="preserve">Effective tax rate</t>
        </is>
      </c>
      <c r="B5">
        <v>0.2</v>
      </c>
      <c r="C5" t="inlineStr">
        <is>
          <t xml:space="preserve">Applied to pre-tax income each quarter (ROUND to whole USD millions)</t>
        </is>
      </c>
    </row>
    <row r="6">
      <c r="A6" t="inlineStr">
        <is>
          <t xml:space="preserve">Diluted shares outstanding (M)</t>
        </is>
      </c>
      <c r="B6">
        <v>3450</v>
      </c>
      <c r="C6" t="inlineStr">
        <is>
          <t xml:space="preserve">Single synthetic average for all periods; EPS = Net income / shares</t>
        </is>
      </c>
    </row>
    <row r="7">
      <c r="A7" t="inlineStr">
        <is>
          <t xml:space="preserve">Reporting currency / units</t>
        </is>
      </c>
      <c r="B7" t="inlineStr">
        <is>
          <t xml:space="preserve">USD millions</t>
        </is>
      </c>
      <c r="C7" t="inlineStr">
        <is>
          <t xml:space="preserve">All income statement rows are in USD millions except EPS (USD) and margins (%)</t>
        </is>
      </c>
    </row>
    <row r="8">
      <c r="A8" t="inlineStr">
        <is>
          <t xml:space="preserve">Fiscal periods</t>
        </is>
      </c>
      <c r="B8" t="inlineStr">
        <is>
          <t xml:space="preserve">Calendar quarters, Q1 2021 – Q4 2025</t>
        </is>
      </c>
      <c r="C8" t="inlineStr">
        <is>
          <t xml:space="preserve">20 quarters; annual summary = sum of the four calendar quarters</t>
        </is>
      </c>
    </row>
    <row r="9">
      <c r="A9" t="inlineStr">
        <is>
          <t xml:space="preserve">Revenue trajectory (synthetic)</t>
        </is>
      </c>
      <c r="B9" t="inlineStr">
        <is>
          <t xml:space="preserve">Automotive +~9%/qtr tapering to +~4%; Energy +~8–10%; Services +~6–7%</t>
        </is>
      </c>
      <c r="C9" t="inlineStr">
        <is>
          <t xml:space="preserve">Growth is decelerating as the base scales</t>
        </is>
      </c>
    </row>
    <row r="10">
      <c r="A10" t="inlineStr">
        <is>
          <t xml:space="preserve">Cost of revenues (synthetic)</t>
        </is>
      </c>
      <c r="B10" t="inlineStr">
        <is>
          <t xml:space="preserve">~80% of total revenue, declining to ~75.5% by 2025</t>
        </is>
      </c>
      <c r="C10" t="inlineStr">
        <is>
          <t xml:space="preserve">≈71–76% of total revenue by quarter (synthetic gross margin ≈24–29%)</t>
        </is>
      </c>
    </row>
    <row r="11">
      <c r="A11" t="inlineStr">
        <is>
          <t xml:space="preserve">Operating expenses (synthetic)</t>
        </is>
      </c>
      <c r="B11" t="inlineStr">
        <is>
          <t xml:space="preserve">R&amp;D and SG&amp;A grow steadily; no restructuring charges</t>
        </is>
      </c>
      <c r="C11" t="inlineStr">
        <is>
          <t xml:space="preserve">R&amp;D grows faster than SG&amp;A</t>
        </is>
      </c>
    </row>
    <row r="12">
      <c r="A12" t="inlineStr">
        <is>
          <t xml:space="preserve">Interest / other (synthetic)</t>
        </is>
      </c>
      <c r="B12" t="inlineStr">
        <is>
          <t xml:space="preserve">Interest income rises, interest expense declines; small other income/(expense)</t>
        </is>
      </c>
      <c r="C12" t="inlineStr">
        <is>
          <t xml:space="preserve">Net other items are minor</t>
        </is>
      </c>
    </row>
    <row r="13">
      <c r="A13" t="inlineStr">
        <is>
          <t xml:space="preserve">Margin definitions</t>
        </is>
      </c>
      <c r="B13" t="inlineStr">
        <is>
          <t xml:space="preserve">Gross margin = Gross profit / Total revenues; Net margin = Net income / Total revenues</t>
        </is>
      </c>
      <c r="C13" t="inlineStr">
        <is>
          <t xml:space="preserve">Both displayed as percentages</t>
        </is>
      </c>
    </row>
    <row r="14">
      <c r="A14" t="inlineStr">
        <is>
          <t xml:space="preserve">EPS definition</t>
        </is>
      </c>
      <c r="B14" t="inlineStr">
        <is>
          <t xml:space="preserve">Diluted EPS = Net income / diluted shares</t>
        </is>
      </c>
      <c r="C14" t="inlineStr">
        <is>
          <t xml:space="preserve">Constant synthetic share count of 3,450M</t>
        </is>
      </c>
    </row>
  </sheetData>
</worksheet>
</file>